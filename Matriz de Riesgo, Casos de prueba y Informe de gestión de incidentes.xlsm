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guel-PC\Desktop\SofkaTraining\Reto Final Calidad\"/>
    </mc:Choice>
  </mc:AlternateContent>
  <xr:revisionPtr revIDLastSave="0" documentId="8_{E3CEEF95-B5A4-4183-B64D-E3ED508D9B59}" xr6:coauthVersionLast="47" xr6:coauthVersionMax="47" xr10:uidLastSave="{00000000-0000-0000-0000-000000000000}"/>
  <bookViews>
    <workbookView xWindow="28680" yWindow="-120" windowWidth="29040" windowHeight="15720" xr2:uid="{AF02FBB8-0A87-4B34-9297-94FCF679C14E}"/>
  </bookViews>
  <sheets>
    <sheet name="Matriz de Riesgo" sheetId="6" r:id="rId1"/>
  </sheets>
  <definedNames>
    <definedName name="Accion">'Matriz de Riesgo'!$W$3:$W$6</definedName>
    <definedName name="Numero">'Matriz de Riesgo'!$V$3:$V$7</definedName>
    <definedName name="Tipo">'Matriz de Riesgo'!$U$3:$U$4</definedName>
    <definedName name="Tipos">'Matriz de Riesgo'!#REF!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6" l="1"/>
  <c r="H25" i="6" s="1"/>
  <c r="G24" i="6"/>
  <c r="H24" i="6" s="1"/>
  <c r="G23" i="6"/>
  <c r="H23" i="6" s="1"/>
  <c r="G21" i="6"/>
  <c r="G14" i="6"/>
  <c r="G15" i="6"/>
  <c r="G16" i="6"/>
  <c r="G17" i="6"/>
  <c r="G18" i="6"/>
  <c r="G19" i="6"/>
  <c r="G20" i="6"/>
  <c r="G22" i="6"/>
  <c r="H15" i="6"/>
  <c r="H16" i="6"/>
  <c r="H17" i="6"/>
  <c r="H18" i="6"/>
  <c r="H19" i="6"/>
  <c r="H20" i="6"/>
  <c r="H21" i="6"/>
  <c r="H22" i="6"/>
  <c r="H14" i="6"/>
  <c r="G10" i="6" l="1"/>
  <c r="H10" i="6" s="1"/>
  <c r="G11" i="6"/>
  <c r="H11" i="6" s="1"/>
  <c r="G12" i="6"/>
  <c r="H12" i="6" s="1"/>
  <c r="G13" i="6"/>
  <c r="H13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3" i="6"/>
  <c r="H3" i="6" s="1"/>
</calcChain>
</file>

<file path=xl/sharedStrings.xml><?xml version="1.0" encoding="utf-8"?>
<sst xmlns="http://schemas.openxmlformats.org/spreadsheetml/2006/main" count="116" uniqueCount="65">
  <si>
    <t>Matriz de Riesgo</t>
  </si>
  <si>
    <t>N°</t>
  </si>
  <si>
    <t>Descripción</t>
  </si>
  <si>
    <t>Tipo</t>
  </si>
  <si>
    <t>Release</t>
  </si>
  <si>
    <t>Probabilidad de ocurrencia</t>
  </si>
  <si>
    <t>Impacto</t>
  </si>
  <si>
    <t>Severidad</t>
  </si>
  <si>
    <t>Nivel de riesgo</t>
  </si>
  <si>
    <t>Acción</t>
  </si>
  <si>
    <t>Plan de Acción</t>
  </si>
  <si>
    <t>Numero</t>
  </si>
  <si>
    <t>Requerimientos incompletos o ambiguos que causan demoras al volver a plantearse o al cometer errores.</t>
  </si>
  <si>
    <t>Proyecto</t>
  </si>
  <si>
    <t>Mitigar</t>
  </si>
  <si>
    <t>Definir, validar y monitorear los requerimientos del proyecto.</t>
  </si>
  <si>
    <t>Producto</t>
  </si>
  <si>
    <t>Defectos en el proceso de facturación, estos puedan resultar en la generación incorrecta o duplicada de estas.</t>
  </si>
  <si>
    <t>Revisar y mejorar el proceso de facturación y control de calidad.</t>
  </si>
  <si>
    <t>Contener</t>
  </si>
  <si>
    <t>Retrasos en la adquisición o configuración de herramientas y recursos necesarios para el proyecto lo que causa demoras en el desarrollo de este.</t>
  </si>
  <si>
    <t>Identificar, priorizar recursos necesarios y seleccionar proveedores adecuados.</t>
  </si>
  <si>
    <t> </t>
  </si>
  <si>
    <t>Transferir</t>
  </si>
  <si>
    <t>Cambios en los requisitos por parte del cliente, generando atrasos en las entregas y cronogramas, además de generar sobre costos.</t>
  </si>
  <si>
    <t>Establecer un proceso controlado de gestión de cambios y comunicación efectiva.</t>
  </si>
  <si>
    <t>Ignorar</t>
  </si>
  <si>
    <t>Falta de planificación adecuada del proyecto, lo que podría llevar a retrasos en la entrega y aumento de los costos.</t>
  </si>
  <si>
    <t xml:space="preserve">Entender los requerimientos, planear y monitorear el progreso del proyecto. </t>
  </si>
  <si>
    <t>Problemas de rendimiento que afecten la estabilidad del servicio, lo que puede generar incomodidad y deserción de usuarios.</t>
  </si>
  <si>
    <t>Monitorear constantemente el rendimiento del servicio y del sitio web.</t>
  </si>
  <si>
    <t>Dificultades en la gestión y el mantenimiento del contenido, lo que podría provocar errores y fallos en el sitio web, además de bajar la escalabilidad y aumentar la complejidad del código.</t>
  </si>
  <si>
    <t>Monitoreo constante y gestión de contenido.</t>
  </si>
  <si>
    <t>Perdida de datos en el proceso de pagos, ya que esto generaría facturas y órdenes incompletas en el flujo de negocio.</t>
  </si>
  <si>
    <t>Identificar y validar el contenido con los interesados.</t>
  </si>
  <si>
    <t>Falta de cumplimiento de estándares de calidad que puede afectar negativamente la imagen de la empresa al dejar vulnerabilidades en el producto.</t>
  </si>
  <si>
    <t>Identificar estándares de calidad y seguridad y realizar pruebas.</t>
  </si>
  <si>
    <t xml:space="preserve"> Que la plataforma no esté disponible durante períodos prolongados debido a fallas en el sistema, generando incomodidades y deserción de los usuarios.</t>
  </si>
  <si>
    <t>Implementar KPIs y servidores de respaldo.</t>
  </si>
  <si>
    <t>Cambios en la estructura organizativa del cliente que puedan generar inconvenientes con el equipo de desarrollo.</t>
  </si>
  <si>
    <t>Plan de contingencia para cambios organizativos.</t>
  </si>
  <si>
    <t>Incumplimiento en los plazos de entrega debido a errores en el cálculo de esfuerzo de pruebas.</t>
  </si>
  <si>
    <t>Evaluación periódica del sistema de búsqueda.</t>
  </si>
  <si>
    <t>Problemas técnicos o de hardware que retrasen o impidan el progreso del proyecto.</t>
  </si>
  <si>
    <t>Establecer protocolos de comunicación.</t>
  </si>
  <si>
    <t>Falta de claridad en los objetivos del proyecto y en las funcionalidades lo que genera defectos a corregir en el futuro, generando sobre costos.</t>
  </si>
  <si>
    <t>Definir los objetivos y funcionalidades con detalle.</t>
  </si>
  <si>
    <t>Incapacidad de la plataforma para manejar una gran cantidad de usuarios en simultáneo, generando fallas y caídas del sistema.</t>
  </si>
  <si>
    <t>Implementar medidas para reducir impacto de carga elevada.</t>
  </si>
  <si>
    <t xml:space="preserve"> Posible inyección de código malicioso a través de herramientas de informes como Log4j, incluyendo vulnerabilidades en el sistema saltando el front end.</t>
  </si>
  <si>
    <t>Configurar firewalls y medidas de seguridad adecuadas.</t>
  </si>
  <si>
    <t>Falta de un entorno de pruebas adecuado para el contexto del proyecto teniendo que sacar todo directo a producción y generando posibles fallos en el despliegue.</t>
  </si>
  <si>
    <t>Desarrollar ambiente de pruebas adecuado.</t>
  </si>
  <si>
    <t>Vulnerabilidad en la seguridad de los datos del usuario lo que puede producir robos de información y mal manejo de la misma.</t>
  </si>
  <si>
    <t>Medidas de seguridad: cifrado, autenticación, firewall, antivirus, pruebas.</t>
  </si>
  <si>
    <t>Desperdicio de recursos por falta de comunicación con el cliente.</t>
  </si>
  <si>
    <t>Comunicación con clientes: regular, responsabilidades, seguimiento, revisión.</t>
  </si>
  <si>
    <t>Cambios frecuentes en la composición del equipo de trabajo que pueden llegar a afectar la continuidad y calidad del desarrollo del proyecto.</t>
  </si>
  <si>
    <t>Roles y responsabilidades claras, integración de equipo, plan de respaldo.</t>
  </si>
  <si>
    <t>Perdida de trazabilidad entre las fases del proceso de prueba, generando repetición de procesos y mal manejo de recursos.</t>
  </si>
  <si>
    <t>Gestión de pruebas sistemática y bien documentada.</t>
  </si>
  <si>
    <t>Falla de rendimiento en el carrito de compras, generando la congelación de la aplicación.</t>
  </si>
  <si>
    <t xml:space="preserve"> Identificar cuellos de botella, optimizar código, implementar arquitectura escalable y hacer pruebas.</t>
  </si>
  <si>
    <t>Problemas de inestabilidad en aplicaciones de terceros, lo que genera fallos en los pagos.</t>
  </si>
  <si>
    <t>Evaluar estabilidad, establecer protocolos, comunicarse con proveedores y monitorear el sistema.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</si>
</sst>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>
    <font>
      <sz val="11"/>
      <color theme="1"/>
      <name val="Calibri"/>
      <family val="2"/>
      <scheme val="minor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</font>
    <font>
      <sz val="14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4" tint="0.59999389629810485"/>
        <bgColor rgb="FFDEEAF6"/>
      </patternFill>
    </fill>
    <fill>
      <patternFill patternType="solid">
        <fgColor theme="4" tint="0.59999389629810485"/>
        <bgColor rgb="FFD8D8D8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5" fillId="6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33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7"/>
          <bgColor theme="7"/>
        </patternFill>
      </fill>
    </dxf>
  </dxfs>
  <tableStyles count="11" defaultTableStyle="TableStyleMedium2" defaultPivotStyle="PivotStyleLight16">
    <tableStyle name="Matriz de Riesgo -style" pivot="0" count="3" xr9:uid="{73AFE189-A624-42E6-BF85-AF9A7630F921}">
      <tableStyleElement type="headerRow" dxfId="32"/>
      <tableStyleElement type="firstRowStripe" dxfId="31"/>
      <tableStyleElement type="secondRowStripe" dxfId="30"/>
    </tableStyle>
    <tableStyle name="Ejemplo Matriz de Riesgo-style" pivot="0" count="3" xr9:uid="{A9772290-327C-4D7D-9B2B-3B4A67769A7A}">
      <tableStyleElement type="headerRow" dxfId="29"/>
      <tableStyleElement type="firstRowStripe" dxfId="28"/>
      <tableStyleElement type="secondRowStripe" dxfId="27"/>
    </tableStyle>
    <tableStyle name="Instructivo-style" pivot="0" count="3" xr9:uid="{A93B01DA-F6EF-459D-B349-FB77BB8EF565}">
      <tableStyleElement type="headerRow" dxfId="26"/>
      <tableStyleElement type="firstRowStripe" dxfId="25"/>
      <tableStyleElement type="secondRowStripe" dxfId="24"/>
    </tableStyle>
    <tableStyle name="Tabla-style" pivot="0" count="3" xr9:uid="{CE9E74AC-3896-4ADE-8069-E8E8DA6CFB91}">
      <tableStyleElement type="headerRow" dxfId="23"/>
      <tableStyleElement type="firstRowStripe" dxfId="22"/>
      <tableStyleElement type="secondRowStripe" dxfId="21"/>
    </tableStyle>
    <tableStyle name="Tabla-style 2" pivot="0" count="3" xr9:uid="{4090D348-479C-42C5-BCD2-EC59C9521FC1}">
      <tableStyleElement type="headerRow" dxfId="20"/>
      <tableStyleElement type="firstRowStripe" dxfId="19"/>
      <tableStyleElement type="secondRowStripe" dxfId="18"/>
    </tableStyle>
    <tableStyle name="Tabla-style 3" pivot="0" count="3" xr9:uid="{F9B6A5B2-E2AD-4303-89B3-35716CF2FC0B}">
      <tableStyleElement type="headerRow" dxfId="17"/>
      <tableStyleElement type="firstRowStripe" dxfId="16"/>
      <tableStyleElement type="secondRowStripe" dxfId="15"/>
    </tableStyle>
    <tableStyle name="Tabla-style 4" pivot="0" count="3" xr9:uid="{AD2C3D4C-09E7-4D01-A6C1-C36272854708}">
      <tableStyleElement type="headerRow" dxfId="14"/>
      <tableStyleElement type="firstRowStripe" dxfId="13"/>
      <tableStyleElement type="secondRowStripe" dxfId="12"/>
    </tableStyle>
    <tableStyle name="Tabla-style 5" pivot="0" count="3" xr9:uid="{12C8995B-C740-4FA5-9F09-D2435A817E92}">
      <tableStyleElement type="headerRow" dxfId="11"/>
      <tableStyleElement type="firstRowStripe" dxfId="10"/>
      <tableStyleElement type="secondRowStripe" dxfId="9"/>
    </tableStyle>
    <tableStyle name="Tabla-style 6" pivot="0" count="3" xr9:uid="{4C4B78B2-16E4-4C6D-8824-10B6451DBE41}">
      <tableStyleElement type="headerRow" dxfId="8"/>
      <tableStyleElement type="firstRowStripe" dxfId="7"/>
      <tableStyleElement type="secondRowStripe" dxfId="6"/>
    </tableStyle>
    <tableStyle name="Tabla-style 7" pivot="0" count="3" xr9:uid="{84F720CE-7D6F-4F68-97B4-1704C9882CC6}">
      <tableStyleElement type="headerRow" dxfId="5"/>
      <tableStyleElement type="firstRowStripe" dxfId="4"/>
      <tableStyleElement type="secondRowStripe" dxfId="3"/>
    </tableStyle>
    <tableStyle name="Tabla-style 8" pivot="0" count="3" xr9:uid="{20CC6CBF-D7AC-46FB-91D2-FB3B54892700}">
      <tableStyleElement type="headerRow" dxfId="2"/>
      <tableStyleElement type="firstRowStripe" dxfId="1"/>
      <tableStyleElement type="secondRowStripe" dxfId="0"/>
    </tableStyle>
  </tableStyles>
  <colors>
    <mruColors>
      <color rgb="FFFF7E06"/>
      <color rgb="FFA5A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209550</xdr:colOff>
      <xdr:row>2</xdr:row>
      <xdr:rowOff>552450</xdr:rowOff>
    </xdr:from>
    <xdr:to>
      <xdr:col>19</xdr:col>
      <xdr:colOff>104775</xdr:colOff>
      <xdr:row>6</xdr:row>
      <xdr:rowOff>352425</xdr:rowOff>
    </xdr:to>
    <xdr:pic>
      <xdr:nvPicPr>
        <xdr:cNvPr id="7" name="Imagen 4">
          <a:extLst>
            <a:ext uri="{FF2B5EF4-FFF2-40B4-BE49-F238E27FC236}">
              <a16:creationId xmlns:a16="http://schemas.microsoft.com/office/drawing/2014/main" id="{BC7C676B-8EDF-93DC-111B-DF1C5E291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0" y="1647825"/>
          <a:ext cx="6067425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FDED1-1A1E-44D7-B872-85FF24D4C5DB}">
  <sheetPr>
    <tabColor theme="0"/>
  </sheetPr>
  <dimension ref="A1:W25"/>
  <sheetViews>
    <sheetView showGridLines="0" tabSelected="1" zoomScale="70" zoomScaleNormal="70" workbookViewId="0">
      <pane ySplit="2" topLeftCell="A19" activePane="bottomLeft" state="frozen"/>
      <selection pane="bottomLeft" activeCell="C23" sqref="C23"/>
    </sheetView>
  </sheetViews>
  <sheetFormatPr defaultColWidth="11.5703125" defaultRowHeight="15"/>
  <cols>
    <col min="1" max="1" width="5.5703125" style="2" customWidth="1"/>
    <col min="2" max="2" width="51" style="2" customWidth="1"/>
    <col min="3" max="3" width="22" style="2" customWidth="1"/>
    <col min="4" max="4" width="11.5703125" style="2"/>
    <col min="5" max="5" width="19.85546875" style="2" customWidth="1"/>
    <col min="6" max="6" width="11.7109375" style="2" customWidth="1"/>
    <col min="7" max="7" width="17.85546875" style="2" customWidth="1"/>
    <col min="8" max="8" width="25.42578125" style="2" customWidth="1"/>
    <col min="9" max="9" width="24.7109375" style="2" customWidth="1"/>
    <col min="10" max="10" width="60.28515625" style="2" customWidth="1"/>
    <col min="11" max="11" width="11.5703125" style="2" bestFit="1" customWidth="1"/>
    <col min="12" max="16384" width="11.5703125" style="2"/>
  </cols>
  <sheetData>
    <row r="1" spans="1:23" ht="18.7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23" ht="37.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U2" s="8" t="s">
        <v>3</v>
      </c>
      <c r="V2" s="9" t="s">
        <v>11</v>
      </c>
      <c r="W2" s="10" t="s">
        <v>9</v>
      </c>
    </row>
    <row r="3" spans="1:23" ht="57">
      <c r="A3" s="5">
        <v>1</v>
      </c>
      <c r="B3" s="5" t="s">
        <v>12</v>
      </c>
      <c r="C3" s="6" t="s">
        <v>13</v>
      </c>
      <c r="D3" s="5">
        <v>1</v>
      </c>
      <c r="E3" s="7">
        <v>2</v>
      </c>
      <c r="F3" s="7">
        <v>3</v>
      </c>
      <c r="G3" s="7">
        <f t="shared" ref="G3" si="0">E3*F3</f>
        <v>6</v>
      </c>
      <c r="H3" s="5">
        <f t="shared" ref="H3" si="1">G3</f>
        <v>6</v>
      </c>
      <c r="I3" s="5" t="s">
        <v>14</v>
      </c>
      <c r="J3" s="5" t="s">
        <v>15</v>
      </c>
      <c r="U3" s="12" t="s">
        <v>16</v>
      </c>
      <c r="V3" s="13">
        <v>1</v>
      </c>
      <c r="W3" s="14" t="s">
        <v>14</v>
      </c>
    </row>
    <row r="4" spans="1:23" ht="57">
      <c r="A4" s="3">
        <v>2</v>
      </c>
      <c r="B4" s="3" t="s">
        <v>17</v>
      </c>
      <c r="C4" s="3" t="s">
        <v>16</v>
      </c>
      <c r="D4" s="3">
        <v>1</v>
      </c>
      <c r="E4" s="4">
        <v>2</v>
      </c>
      <c r="F4" s="4">
        <v>4</v>
      </c>
      <c r="G4" s="3">
        <f>E4*F4</f>
        <v>8</v>
      </c>
      <c r="H4" s="3">
        <f>G4</f>
        <v>8</v>
      </c>
      <c r="I4" s="3" t="s">
        <v>14</v>
      </c>
      <c r="J4" s="11" t="s">
        <v>18</v>
      </c>
      <c r="U4" s="12" t="s">
        <v>13</v>
      </c>
      <c r="V4" s="13">
        <v>2</v>
      </c>
      <c r="W4" s="14" t="s">
        <v>19</v>
      </c>
    </row>
    <row r="5" spans="1:23" ht="75.75">
      <c r="A5" s="5">
        <v>3</v>
      </c>
      <c r="B5" s="5" t="s">
        <v>20</v>
      </c>
      <c r="C5" s="6" t="s">
        <v>13</v>
      </c>
      <c r="D5" s="5">
        <v>1</v>
      </c>
      <c r="E5" s="7">
        <v>2</v>
      </c>
      <c r="F5" s="7">
        <v>3</v>
      </c>
      <c r="G5" s="7">
        <f t="shared" ref="G5:G9" si="2">E5*F5</f>
        <v>6</v>
      </c>
      <c r="H5" s="5">
        <f t="shared" ref="H5:H9" si="3">G5</f>
        <v>6</v>
      </c>
      <c r="I5" s="5" t="s">
        <v>14</v>
      </c>
      <c r="J5" s="5" t="s">
        <v>21</v>
      </c>
      <c r="U5" s="12" t="s">
        <v>22</v>
      </c>
      <c r="V5" s="13">
        <v>3</v>
      </c>
      <c r="W5" s="14" t="s">
        <v>23</v>
      </c>
    </row>
    <row r="6" spans="1:23" ht="75.75">
      <c r="A6" s="3">
        <v>4</v>
      </c>
      <c r="B6" s="3" t="s">
        <v>24</v>
      </c>
      <c r="C6" s="3" t="s">
        <v>13</v>
      </c>
      <c r="D6" s="3">
        <v>1</v>
      </c>
      <c r="E6" s="4">
        <v>3</v>
      </c>
      <c r="F6" s="4">
        <v>4</v>
      </c>
      <c r="G6" s="3">
        <f t="shared" si="2"/>
        <v>12</v>
      </c>
      <c r="H6" s="3">
        <f t="shared" si="3"/>
        <v>12</v>
      </c>
      <c r="I6" s="3" t="s">
        <v>14</v>
      </c>
      <c r="J6" s="3" t="s">
        <v>25</v>
      </c>
      <c r="U6" s="12" t="s">
        <v>22</v>
      </c>
      <c r="V6" s="13">
        <v>4</v>
      </c>
      <c r="W6" s="14" t="s">
        <v>26</v>
      </c>
    </row>
    <row r="7" spans="1:23" ht="57">
      <c r="A7" s="5">
        <v>5</v>
      </c>
      <c r="B7" s="5" t="s">
        <v>27</v>
      </c>
      <c r="C7" s="6" t="s">
        <v>13</v>
      </c>
      <c r="D7" s="5">
        <v>1</v>
      </c>
      <c r="E7" s="7">
        <v>2</v>
      </c>
      <c r="F7" s="7">
        <v>3</v>
      </c>
      <c r="G7" s="7">
        <f t="shared" si="2"/>
        <v>6</v>
      </c>
      <c r="H7" s="5">
        <f t="shared" si="3"/>
        <v>6</v>
      </c>
      <c r="I7" s="5" t="s">
        <v>14</v>
      </c>
      <c r="J7" s="5" t="s">
        <v>28</v>
      </c>
      <c r="U7" s="15" t="s">
        <v>22</v>
      </c>
      <c r="V7" s="16">
        <v>5</v>
      </c>
      <c r="W7" s="17" t="s">
        <v>22</v>
      </c>
    </row>
    <row r="8" spans="1:23" ht="57">
      <c r="A8" s="3">
        <v>6</v>
      </c>
      <c r="B8" s="3" t="s">
        <v>29</v>
      </c>
      <c r="C8" s="3" t="s">
        <v>16</v>
      </c>
      <c r="D8" s="3">
        <v>1</v>
      </c>
      <c r="E8" s="4">
        <v>2</v>
      </c>
      <c r="F8" s="4">
        <v>3</v>
      </c>
      <c r="G8" s="3">
        <f t="shared" si="2"/>
        <v>6</v>
      </c>
      <c r="H8" s="3">
        <f t="shared" si="3"/>
        <v>6</v>
      </c>
      <c r="I8" s="3" t="s">
        <v>14</v>
      </c>
      <c r="J8" s="3" t="s">
        <v>30</v>
      </c>
    </row>
    <row r="9" spans="1:23" ht="94.5">
      <c r="A9" s="5">
        <v>7</v>
      </c>
      <c r="B9" s="5" t="s">
        <v>31</v>
      </c>
      <c r="C9" s="6" t="s">
        <v>16</v>
      </c>
      <c r="D9" s="5">
        <v>1</v>
      </c>
      <c r="E9" s="7">
        <v>3</v>
      </c>
      <c r="F9" s="7">
        <v>3</v>
      </c>
      <c r="G9" s="7">
        <f t="shared" si="2"/>
        <v>9</v>
      </c>
      <c r="H9" s="5">
        <f t="shared" si="3"/>
        <v>9</v>
      </c>
      <c r="I9" s="5" t="s">
        <v>14</v>
      </c>
      <c r="J9" s="5" t="s">
        <v>32</v>
      </c>
    </row>
    <row r="10" spans="1:23" ht="57">
      <c r="A10" s="3">
        <v>8</v>
      </c>
      <c r="B10" s="3" t="s">
        <v>33</v>
      </c>
      <c r="C10" s="3" t="s">
        <v>16</v>
      </c>
      <c r="D10" s="3">
        <v>1</v>
      </c>
      <c r="E10" s="4">
        <v>2</v>
      </c>
      <c r="F10" s="4">
        <v>5</v>
      </c>
      <c r="G10" s="3">
        <f t="shared" ref="G10:G22" si="4">E10*F10</f>
        <v>10</v>
      </c>
      <c r="H10" s="3">
        <f t="shared" ref="H10:H22" si="5">G10</f>
        <v>10</v>
      </c>
      <c r="I10" s="3" t="s">
        <v>23</v>
      </c>
      <c r="J10" s="3" t="s">
        <v>34</v>
      </c>
    </row>
    <row r="11" spans="1:23" ht="75.75">
      <c r="A11" s="5">
        <v>9</v>
      </c>
      <c r="B11" s="5" t="s">
        <v>35</v>
      </c>
      <c r="C11" s="6" t="s">
        <v>16</v>
      </c>
      <c r="D11" s="5">
        <v>1</v>
      </c>
      <c r="E11" s="7">
        <v>2</v>
      </c>
      <c r="F11" s="7">
        <v>4</v>
      </c>
      <c r="G11" s="7">
        <f t="shared" si="4"/>
        <v>8</v>
      </c>
      <c r="H11" s="5">
        <f t="shared" si="5"/>
        <v>8</v>
      </c>
      <c r="I11" s="5" t="s">
        <v>23</v>
      </c>
      <c r="J11" s="5" t="s">
        <v>36</v>
      </c>
    </row>
    <row r="12" spans="1:23" ht="75.75">
      <c r="A12" s="3">
        <v>10</v>
      </c>
      <c r="B12" s="3" t="s">
        <v>37</v>
      </c>
      <c r="C12" s="3" t="s">
        <v>16</v>
      </c>
      <c r="D12" s="3">
        <v>1</v>
      </c>
      <c r="E12" s="4">
        <v>2</v>
      </c>
      <c r="F12" s="4">
        <v>4</v>
      </c>
      <c r="G12" s="3">
        <f t="shared" si="4"/>
        <v>8</v>
      </c>
      <c r="H12" s="3">
        <f t="shared" si="5"/>
        <v>8</v>
      </c>
      <c r="I12" s="3" t="s">
        <v>23</v>
      </c>
      <c r="J12" s="11" t="s">
        <v>38</v>
      </c>
    </row>
    <row r="13" spans="1:23" ht="57">
      <c r="A13" s="5">
        <v>11</v>
      </c>
      <c r="B13" s="5" t="s">
        <v>39</v>
      </c>
      <c r="C13" s="6" t="s">
        <v>13</v>
      </c>
      <c r="D13" s="5">
        <v>1</v>
      </c>
      <c r="E13" s="7">
        <v>2</v>
      </c>
      <c r="F13" s="7">
        <v>3</v>
      </c>
      <c r="G13" s="7">
        <f t="shared" si="4"/>
        <v>6</v>
      </c>
      <c r="H13" s="5">
        <f t="shared" si="5"/>
        <v>6</v>
      </c>
      <c r="I13" s="5" t="s">
        <v>19</v>
      </c>
      <c r="J13" s="5" t="s">
        <v>40</v>
      </c>
    </row>
    <row r="14" spans="1:23" ht="57">
      <c r="A14" s="3">
        <v>12</v>
      </c>
      <c r="B14" s="3" t="s">
        <v>41</v>
      </c>
      <c r="C14" s="11" t="s">
        <v>16</v>
      </c>
      <c r="D14" s="3">
        <v>1</v>
      </c>
      <c r="E14" s="4">
        <v>2</v>
      </c>
      <c r="F14" s="4">
        <v>4</v>
      </c>
      <c r="G14" s="3">
        <f t="shared" si="4"/>
        <v>8</v>
      </c>
      <c r="H14" s="3">
        <f t="shared" si="5"/>
        <v>8</v>
      </c>
      <c r="I14" s="3" t="s">
        <v>14</v>
      </c>
      <c r="J14" s="3" t="s">
        <v>42</v>
      </c>
    </row>
    <row r="15" spans="1:23" ht="37.5">
      <c r="A15" s="5">
        <v>13</v>
      </c>
      <c r="B15" s="5" t="s">
        <v>43</v>
      </c>
      <c r="C15" s="18" t="s">
        <v>13</v>
      </c>
      <c r="D15" s="5">
        <v>1</v>
      </c>
      <c r="E15" s="7">
        <v>2</v>
      </c>
      <c r="F15" s="7">
        <v>4</v>
      </c>
      <c r="G15" s="7">
        <f t="shared" si="4"/>
        <v>8</v>
      </c>
      <c r="H15" s="5">
        <f t="shared" si="5"/>
        <v>8</v>
      </c>
      <c r="I15" s="5" t="s">
        <v>19</v>
      </c>
      <c r="J15" s="5" t="s">
        <v>44</v>
      </c>
    </row>
    <row r="16" spans="1:23" ht="75.75">
      <c r="A16" s="3">
        <v>14</v>
      </c>
      <c r="B16" s="3" t="s">
        <v>45</v>
      </c>
      <c r="C16" s="11" t="s">
        <v>13</v>
      </c>
      <c r="D16" s="3">
        <v>1</v>
      </c>
      <c r="E16" s="4">
        <v>3</v>
      </c>
      <c r="F16" s="4">
        <v>4</v>
      </c>
      <c r="G16" s="3">
        <f t="shared" si="4"/>
        <v>12</v>
      </c>
      <c r="H16" s="3">
        <f t="shared" si="5"/>
        <v>12</v>
      </c>
      <c r="I16" s="3" t="s">
        <v>14</v>
      </c>
      <c r="J16" s="3" t="s">
        <v>46</v>
      </c>
    </row>
    <row r="17" spans="1:10" ht="57">
      <c r="A17" s="5">
        <v>15</v>
      </c>
      <c r="B17" s="5" t="s">
        <v>47</v>
      </c>
      <c r="C17" s="18" t="s">
        <v>16</v>
      </c>
      <c r="D17" s="5">
        <v>1</v>
      </c>
      <c r="E17" s="7">
        <v>3</v>
      </c>
      <c r="F17" s="7">
        <v>4</v>
      </c>
      <c r="G17" s="7">
        <f t="shared" si="4"/>
        <v>12</v>
      </c>
      <c r="H17" s="5">
        <f t="shared" si="5"/>
        <v>12</v>
      </c>
      <c r="I17" s="5" t="s">
        <v>19</v>
      </c>
      <c r="J17" s="5" t="s">
        <v>48</v>
      </c>
    </row>
    <row r="18" spans="1:10" ht="75.75">
      <c r="A18" s="3">
        <v>16</v>
      </c>
      <c r="B18" s="3" t="s">
        <v>49</v>
      </c>
      <c r="C18" s="11" t="s">
        <v>13</v>
      </c>
      <c r="D18" s="3">
        <v>1</v>
      </c>
      <c r="E18" s="4">
        <v>2</v>
      </c>
      <c r="F18" s="4">
        <v>4</v>
      </c>
      <c r="G18" s="3">
        <f t="shared" si="4"/>
        <v>8</v>
      </c>
      <c r="H18" s="3">
        <f t="shared" si="5"/>
        <v>8</v>
      </c>
      <c r="I18" s="3" t="s">
        <v>14</v>
      </c>
      <c r="J18" s="3" t="s">
        <v>50</v>
      </c>
    </row>
    <row r="19" spans="1:10" ht="75.75">
      <c r="A19" s="5">
        <v>17</v>
      </c>
      <c r="B19" s="5" t="s">
        <v>51</v>
      </c>
      <c r="C19" s="18" t="s">
        <v>13</v>
      </c>
      <c r="D19" s="5">
        <v>1</v>
      </c>
      <c r="E19" s="7">
        <v>2</v>
      </c>
      <c r="F19" s="7">
        <v>4</v>
      </c>
      <c r="G19" s="7">
        <f t="shared" si="4"/>
        <v>8</v>
      </c>
      <c r="H19" s="5">
        <f t="shared" si="5"/>
        <v>8</v>
      </c>
      <c r="I19" s="5" t="s">
        <v>14</v>
      </c>
      <c r="J19" s="5" t="s">
        <v>52</v>
      </c>
    </row>
    <row r="20" spans="1:10" ht="57">
      <c r="A20" s="3">
        <v>18</v>
      </c>
      <c r="B20" s="3" t="s">
        <v>53</v>
      </c>
      <c r="C20" s="11" t="s">
        <v>16</v>
      </c>
      <c r="D20" s="3">
        <v>1</v>
      </c>
      <c r="E20" s="4">
        <v>2</v>
      </c>
      <c r="F20" s="4">
        <v>5</v>
      </c>
      <c r="G20" s="3">
        <f t="shared" si="4"/>
        <v>10</v>
      </c>
      <c r="H20" s="3">
        <f t="shared" si="5"/>
        <v>10</v>
      </c>
      <c r="I20" s="3" t="s">
        <v>19</v>
      </c>
      <c r="J20" s="3" t="s">
        <v>54</v>
      </c>
    </row>
    <row r="21" spans="1:10" ht="37.5">
      <c r="A21" s="5">
        <v>19</v>
      </c>
      <c r="B21" s="5" t="s">
        <v>55</v>
      </c>
      <c r="C21" s="18" t="s">
        <v>16</v>
      </c>
      <c r="D21" s="5">
        <v>1</v>
      </c>
      <c r="E21" s="7">
        <v>3</v>
      </c>
      <c r="F21" s="7">
        <v>3</v>
      </c>
      <c r="G21" s="7">
        <f>E21*F21</f>
        <v>9</v>
      </c>
      <c r="H21" s="5">
        <f t="shared" si="5"/>
        <v>9</v>
      </c>
      <c r="I21" s="5" t="s">
        <v>14</v>
      </c>
      <c r="J21" s="5" t="s">
        <v>56</v>
      </c>
    </row>
    <row r="22" spans="1:10" ht="75.75">
      <c r="A22" s="3">
        <v>20</v>
      </c>
      <c r="B22" s="3" t="s">
        <v>57</v>
      </c>
      <c r="C22" s="11" t="s">
        <v>13</v>
      </c>
      <c r="D22" s="3">
        <v>1</v>
      </c>
      <c r="E22" s="4">
        <v>2</v>
      </c>
      <c r="F22" s="4">
        <v>4</v>
      </c>
      <c r="G22" s="3">
        <f t="shared" si="4"/>
        <v>8</v>
      </c>
      <c r="H22" s="3">
        <f t="shared" si="5"/>
        <v>8</v>
      </c>
      <c r="I22" s="3" t="s">
        <v>14</v>
      </c>
      <c r="J22" s="3" t="s">
        <v>58</v>
      </c>
    </row>
    <row r="23" spans="1:10" ht="57">
      <c r="A23" s="19">
        <v>21</v>
      </c>
      <c r="B23" s="19" t="s">
        <v>59</v>
      </c>
      <c r="C23" s="18" t="s">
        <v>13</v>
      </c>
      <c r="D23" s="19">
        <v>1</v>
      </c>
      <c r="E23" s="7">
        <v>2</v>
      </c>
      <c r="F23" s="7">
        <v>4</v>
      </c>
      <c r="G23" s="7">
        <f>E23*F23</f>
        <v>8</v>
      </c>
      <c r="H23" s="19">
        <f>G23</f>
        <v>8</v>
      </c>
      <c r="I23" s="5" t="s">
        <v>19</v>
      </c>
      <c r="J23" s="19" t="s">
        <v>60</v>
      </c>
    </row>
    <row r="24" spans="1:10" ht="57">
      <c r="A24" s="3">
        <v>22</v>
      </c>
      <c r="B24" s="3" t="s">
        <v>61</v>
      </c>
      <c r="C24" s="11" t="s">
        <v>16</v>
      </c>
      <c r="D24" s="3">
        <v>1</v>
      </c>
      <c r="E24" s="4">
        <v>2</v>
      </c>
      <c r="F24" s="4">
        <v>4</v>
      </c>
      <c r="G24" s="4">
        <f>E24*F24</f>
        <v>8</v>
      </c>
      <c r="H24" s="3">
        <f>G24</f>
        <v>8</v>
      </c>
      <c r="I24" s="3" t="s">
        <v>14</v>
      </c>
      <c r="J24" s="3" t="s">
        <v>62</v>
      </c>
    </row>
    <row r="25" spans="1:10" ht="57">
      <c r="A25" s="19">
        <v>23</v>
      </c>
      <c r="B25" s="19" t="s">
        <v>63</v>
      </c>
      <c r="C25" s="18" t="s">
        <v>16</v>
      </c>
      <c r="D25" s="19">
        <v>1</v>
      </c>
      <c r="E25" s="7">
        <v>1</v>
      </c>
      <c r="F25" s="7">
        <v>5</v>
      </c>
      <c r="G25" s="7">
        <f>E25*F25</f>
        <v>5</v>
      </c>
      <c r="H25" s="19">
        <f>G25</f>
        <v>5</v>
      </c>
      <c r="I25" s="5" t="s">
        <v>23</v>
      </c>
      <c r="J25" s="19" t="s">
        <v>64</v>
      </c>
    </row>
  </sheetData>
  <mergeCells count="1">
    <mergeCell ref="A1:J1"/>
  </mergeCells>
  <conditionalFormatting sqref="H3:H25">
    <cfRule type="iconSet" priority="7">
      <iconSet iconSet="3Symbols" showValue="0" reverse="1">
        <cfvo type="percent" val="0"/>
        <cfvo type="num" val="4"/>
        <cfvo type="num" val="12"/>
      </iconSet>
    </cfRule>
  </conditionalFormatting>
  <dataValidations count="3">
    <dataValidation type="list" allowBlank="1" showInputMessage="1" showErrorMessage="1" sqref="E3:F14" xr:uid="{8532C361-090D-44A3-9B9A-0226D51640E6}">
      <formula1>Numero</formula1>
    </dataValidation>
    <dataValidation type="list" allowBlank="1" showInputMessage="1" showErrorMessage="1" sqref="C3:C24" xr:uid="{9E3BB9DB-7B29-481D-B61E-D6FF8F2E89E6}">
      <formula1>Tipo</formula1>
    </dataValidation>
    <dataValidation type="list" allowBlank="1" showInputMessage="1" showErrorMessage="1" sqref="I3:I25" xr:uid="{4E64329E-3385-4E08-9327-DBF537FE27A0}">
      <formula1>Accion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Miguel-PC</dc:creator>
  <cp:keywords/>
  <dc:description/>
  <cp:lastModifiedBy/>
  <cp:revision/>
  <dcterms:created xsi:type="dcterms:W3CDTF">2023-02-27T14:28:38Z</dcterms:created>
  <dcterms:modified xsi:type="dcterms:W3CDTF">2023-03-18T00:59:19Z</dcterms:modified>
  <cp:category/>
  <cp:contentStatus/>
</cp:coreProperties>
</file>